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0" tabRatio="500"/>
  </bookViews>
  <sheets>
    <sheet name="WBS" sheetId="1" r:id="rId1"/>
    <sheet name="Gantt Chart" sheetId="2" r:id="rId2"/>
  </sheets>
  <definedNames>
    <definedName name="_xlnm._FilterDatabase" localSheetId="0" hidden="1">WBS!$A$3:$G$32</definedName>
    <definedName name="_xlnm._FilterDatabase" localSheetId="0" hidden="1">WBS!$A$3:$G$32</definedName>
    <definedName name="_xlnm._FilterDatabase" localSheetId="0" hidden="1">WBS!$A$3:$G$32</definedName>
    <definedName name="_xlnm._FilterDatabase" localSheetId="0" hidden="1">WBS!$A$3:$G$32</definedName>
  </definedNames>
  <calcPr iterateDelta="1.0E-4"/>
</workbook>
</file>

<file path=xl/sharedStrings.xml><?xml version="1.0" encoding="utf-8"?>
<sst xmlns="http://schemas.openxmlformats.org/spreadsheetml/2006/main" uniqueCount="107" count="107">
  <si>
    <t>Work Breakdown Structure — Community Mental Health Signposting Portal</t>
  </si>
  <si>
    <t>WBS Code</t>
  </si>
  <si>
    <t>Task / Work Package</t>
  </si>
  <si>
    <t>Owner</t>
  </si>
  <si>
    <t>Start Day</t>
  </si>
  <si>
    <t>End Day</t>
  </si>
  <si>
    <t>Duration (days)</t>
  </si>
  <si>
    <t>Deliverable</t>
  </si>
  <si>
    <t>1</t>
  </si>
  <si>
    <t>Kickoff &amp; Problem Grounding</t>
  </si>
  <si>
    <t>1.1</t>
  </si>
  <si>
    <t xml:space="preserve">   Project Initiation (kickoff meeting, charter, WBS, stakeholder register)</t>
  </si>
  <si>
    <t>Nelson Mukhwana (PM)</t>
  </si>
  <si>
    <t>Project Charter, WBS, Stakeholder Register</t>
  </si>
  <si>
    <t>1.2</t>
  </si>
  <si>
    <t xml:space="preserve">   User Research (interviews/surveys on resource discovery)</t>
  </si>
  <si>
    <t>Elsa Michaud (UX)</t>
  </si>
  <si>
    <t>Research notes, target user groups</t>
  </si>
  <si>
    <t>1.3</t>
  </si>
  <si>
    <t xml:space="preserve">   Mental Health &amp; Burnout Data Collection</t>
  </si>
  <si>
    <t>Vivian Enenta (Data)</t>
  </si>
  <si>
    <t>Research Dataset (raw)</t>
  </si>
  <si>
    <t>1.4</t>
  </si>
  <si>
    <t xml:space="preserve">   Security Risk Identification &amp; Threat Assessment</t>
  </si>
  <si>
    <t>Esther Omotayo-Omomule (Cyber)</t>
  </si>
  <si>
    <t>Threat Assessment</t>
  </si>
  <si>
    <t>1.5</t>
  </si>
  <si>
    <t xml:space="preserve">   Hosting Options Review &amp; Requirements Scoping</t>
  </si>
  <si>
    <t>Michelle Agyapong (IT)</t>
  </si>
  <si>
    <t>System Requirements (draft)</t>
  </si>
  <si>
    <t>2</t>
  </si>
  <si>
    <t>Design &amp; Planning</t>
  </si>
  <si>
    <t>2.1</t>
  </si>
  <si>
    <t xml:space="preserve">   GitHub Repository &amp; Dev Environment Setup</t>
  </si>
  <si>
    <t>GitHub repo structure</t>
  </si>
  <si>
    <t>2.2</t>
  </si>
  <si>
    <t xml:space="preserve">   Personas, Journey Maps &amp; Wireframes</t>
  </si>
  <si>
    <t>User Personas, User Flow, Wireframes</t>
  </si>
  <si>
    <t>2.3</t>
  </si>
  <si>
    <t xml:space="preserve">   High-Fidelity Mockups &amp; Design System (start)</t>
  </si>
  <si>
    <t>Design System (draft)</t>
  </si>
  <si>
    <t>2.4</t>
  </si>
  <si>
    <t xml:space="preserve">   Security Architecture &amp; Authentication Design</t>
  </si>
  <si>
    <t>Security Architecture</t>
  </si>
  <si>
    <t>2.5</t>
  </si>
  <si>
    <t xml:space="preserve">   KPI Framework &amp; Dashboard Design</t>
  </si>
  <si>
    <t>KPI Framework, dashboard layout</t>
  </si>
  <si>
    <t>2.6</t>
  </si>
  <si>
    <t xml:space="preserve">   Deployment Plan Drafting</t>
  </si>
  <si>
    <t>Deployment Plan (draft)</t>
  </si>
  <si>
    <t>3</t>
  </si>
  <si>
    <t>Build &amp; Integrate</t>
  </si>
  <si>
    <t>3.1</t>
  </si>
  <si>
    <t xml:space="preserve">   Interactive Prototype Build (Figma)</t>
  </si>
  <si>
    <t>Figma Prototype</t>
  </si>
  <si>
    <t>3.2</t>
  </si>
  <si>
    <t xml:space="preserve">   Hosting &amp; Deployment Setup</t>
  </si>
  <si>
    <t>Staging environment</t>
  </si>
  <si>
    <t>3.3</t>
  </si>
  <si>
    <t xml:space="preserve">   Security Review of Prototype</t>
  </si>
  <si>
    <t>Security review notes, fixes list</t>
  </si>
  <si>
    <t>3.4</t>
  </si>
  <si>
    <t xml:space="preserve">   KPI Dashboard Build</t>
  </si>
  <si>
    <t>KPI Dashboard (working)</t>
  </si>
  <si>
    <t>3.5</t>
  </si>
  <si>
    <t xml:space="preserve">   Bug List Coordination &amp; Usability Pass</t>
  </si>
  <si>
    <t>Bug/fix tracker</t>
  </si>
  <si>
    <t>4</t>
  </si>
  <si>
    <t>Testing &amp; Documentation</t>
  </si>
  <si>
    <t>4.1</t>
  </si>
  <si>
    <t xml:space="preserve">   Final Report Compilation</t>
  </si>
  <si>
    <t>Final Report</t>
  </si>
  <si>
    <t>4.2</t>
  </si>
  <si>
    <t xml:space="preserve">   Design System Finalisation</t>
  </si>
  <si>
    <t>Design System (final)</t>
  </si>
  <si>
    <t>4.3</t>
  </si>
  <si>
    <t xml:space="preserve">   Deployment &amp; Maintenance Plan Finalisation</t>
  </si>
  <si>
    <t>Deployment Plan, Maintenance Plan, Support Guide</t>
  </si>
  <si>
    <t>4.4</t>
  </si>
  <si>
    <t xml:space="preserve">   Risk Assessment &amp; Security Docs Finalisation</t>
  </si>
  <si>
    <t>Risk Assessment, Data Protection Plan</t>
  </si>
  <si>
    <t>4.5</t>
  </si>
  <si>
    <t xml:space="preserve">   Data Deliverables Packaging</t>
  </si>
  <si>
    <t>Final dataset, charts, KPI framework</t>
  </si>
  <si>
    <t>4.6</t>
  </si>
  <si>
    <t xml:space="preserve">   GitHub Repository Cleanup &amp; Documentation</t>
  </si>
  <si>
    <t>Organised GitHub repo</t>
  </si>
  <si>
    <t>5</t>
  </si>
  <si>
    <t>Final Submission</t>
  </si>
  <si>
    <t>5.1</t>
  </si>
  <si>
    <t xml:space="preserve">   Rehearse &amp; Deliver Final Presentation</t>
  </si>
  <si>
    <t>Whole Team</t>
  </si>
  <si>
    <t>Final Presentation</t>
  </si>
  <si>
    <t>5.2</t>
  </si>
  <si>
    <t xml:space="preserve">   Submit All Deliverables</t>
  </si>
  <si>
    <t>Full deliverable set submitted</t>
  </si>
  <si>
    <t>Owner Colour Key (used on the Gantt Chart tab):</t>
  </si>
  <si>
    <t>Gantt Chart — Community Mental Health Signposting Portal (14-Day Sprint)</t>
  </si>
  <si>
    <t>Start Date (Day 1):</t>
  </si>
  <si>
    <t>2026-07-20</t>
  </si>
  <si>
    <t>WBS</t>
  </si>
  <si>
    <t>Start</t>
  </si>
  <si>
    <t>End</t>
  </si>
  <si>
    <t>Dur.</t>
  </si>
  <si>
    <t>Date →</t>
  </si>
  <si>
    <t>Owner Colour Key:</t>
  </si>
  <si>
    <t>Tip: change the Start Date in B2 and the Date row (row 5) recalculates automatically. Coloured bars mark which days (columns G:T) each work package is active on.</t>
  </si>
</sst>
</file>

<file path=xl/styles.xml><?xml version="1.0" encoding="utf-8"?>
<styleSheet xmlns="http://schemas.openxmlformats.org/spreadsheetml/2006/main">
  <numFmts count="3">
    <numFmt numFmtId="0" formatCode="General"/>
    <numFmt numFmtId="164" formatCode="yyyy\-mm\-dd"/>
    <numFmt numFmtId="165" formatCode="d\-mmm"/>
  </numFmts>
  <fonts count="16">
    <font>
      <name val="Calibri"/>
      <sz val="11"/>
    </font>
    <font>
      <name val="Arial"/>
      <b/>
      <charset val="1"/>
      <sz val="15"/>
      <color rgb="FF1F3864"/>
    </font>
    <font>
      <name val="Arial"/>
      <b/>
      <charset val="1"/>
      <sz val="11"/>
      <color rgb="FFFFFFFF"/>
    </font>
    <font>
      <name val="Arial"/>
      <b/>
      <charset val="1"/>
      <sz val="10"/>
      <color rgb="FF1F3864"/>
    </font>
    <font>
      <name val="Arial"/>
      <b/>
      <charset val="1"/>
      <sz val="11"/>
      <color rgb="FF1F3864"/>
    </font>
    <font>
      <name val="Arial"/>
      <charset val="1"/>
      <sz val="10"/>
      <color rgb="FF262626"/>
    </font>
    <font>
      <name val="Arial"/>
      <charset val="1"/>
      <sz val="10"/>
      <color rgb="FF1F3864"/>
    </font>
    <font>
      <name val="Arial"/>
      <i/>
      <charset val="1"/>
      <sz val="10"/>
      <color rgb="FF262626"/>
    </font>
    <font>
      <name val="Arial"/>
      <charset val="1"/>
      <sz val="9"/>
    </font>
    <font>
      <name val="Arial"/>
      <b/>
      <charset val="1"/>
      <sz val="10"/>
      <color rgb="FF0000FF"/>
    </font>
    <font>
      <name val="Arial"/>
      <b/>
      <charset val="1"/>
      <sz val="10"/>
      <color rgb="FFFFFFFF"/>
    </font>
    <font>
      <name val="Arial"/>
      <b/>
      <charset val="1"/>
      <sz val="9"/>
      <color rgb="FFFFFFFF"/>
    </font>
    <font>
      <name val="Arial"/>
      <i/>
      <charset val="1"/>
      <sz val="9"/>
      <color rgb="FF595959"/>
    </font>
    <font>
      <name val="Arial"/>
      <charset val="1"/>
      <sz val="8"/>
      <color rgb="FF595959"/>
    </font>
    <font>
      <name val="Calibri"/>
      <charset val="1"/>
      <sz val="11"/>
      <color rgb="FF000000"/>
    </font>
    <font>
      <name val="Arial"/>
      <charset val="1"/>
      <sz val="9"/>
      <color rgb="FF262626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8EA9DB"/>
        <bgColor rgb="FF969696"/>
      </patternFill>
    </fill>
    <fill>
      <patternFill patternType="solid">
        <fgColor rgb="FFF4B183"/>
        <bgColor rgb="FFF8CBAD"/>
      </patternFill>
    </fill>
    <fill>
      <patternFill patternType="solid">
        <fgColor rgb="FFA9D18E"/>
        <bgColor rgb="FFBFBFBF"/>
      </patternFill>
    </fill>
    <fill>
      <patternFill patternType="solid">
        <fgColor rgb="FFD999D9"/>
        <bgColor rgb="FFBFBFBF"/>
      </patternFill>
    </fill>
    <fill>
      <patternFill patternType="solid">
        <fgColor rgb="FFFFD966"/>
        <bgColor rgb="FFF8CBAD"/>
      </patternFill>
    </fill>
    <fill>
      <patternFill patternType="solid">
        <fgColor rgb="FFBFBFBF"/>
        <bgColor rgb="FFA9D18E"/>
      </patternFill>
    </fill>
    <fill>
      <patternFill patternType="solid">
        <fgColor rgb="FFFFFF00"/>
        <bgColor rgb="FFFFD966"/>
      </patternFill>
    </fill>
    <fill>
      <patternFill patternType="solid">
        <fgColor rgb="FFFFFFFF"/>
        <bgColor rgb="FFFAFAF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 applyBorder="1" applyAlignment="1">
      <alignment vertical="bottom"/>
    </xf>
    <xf numFmtId="0" fontId="2" fillId="2" borderId="1" xfId="0" applyFont="1" applyBorder="1" applyAlignment="1">
      <alignment horizontal="center" vertical="center" wrapText="1"/>
    </xf>
    <xf numFmtId="0" fontId="3" fillId="3" borderId="1" xfId="0" applyFont="1" applyBorder="1" applyAlignment="1">
      <alignment horizontal="center" vertical="center"/>
    </xf>
    <xf numFmtId="0" fontId="4" fillId="3" borderId="1" xfId="0" applyFont="1" applyBorder="1" applyAlignment="1">
      <alignment vertical="center" wrapText="1"/>
    </xf>
    <xf numFmtId="0" fontId="5" fillId="3" borderId="1" xfId="0" applyFont="1" applyBorder="1" applyAlignment="1">
      <alignment horizontal="center" vertical="center" wrapText="1"/>
    </xf>
    <xf numFmtId="0" fontId="5" fillId="3" borderId="1" xfId="0" applyFont="1" applyBorder="1" applyAlignment="1">
      <alignment horizontal="center" vertical="center"/>
    </xf>
    <xf numFmtId="0" fontId="5" fillId="3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 indent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3" fillId="4" borderId="1" xfId="0" applyFont="1" applyBorder="1" applyAlignment="1">
      <alignment horizontal="center" vertical="center"/>
    </xf>
    <xf numFmtId="0" fontId="4" fillId="4" borderId="1" xfId="0" applyFont="1" applyBorder="1" applyAlignment="1">
      <alignment vertical="center" wrapText="1"/>
    </xf>
    <xf numFmtId="0" fontId="5" fillId="4" borderId="1" xfId="0" applyFont="1" applyBorder="1" applyAlignment="1">
      <alignment horizontal="center" vertical="center" wrapText="1"/>
    </xf>
    <xf numFmtId="0" fontId="5" fillId="4" borderId="1" xfId="0" applyFont="1" applyBorder="1" applyAlignment="1">
      <alignment horizontal="center" vertical="center"/>
    </xf>
    <xf numFmtId="0" fontId="5" fillId="4" borderId="1" xfId="0" applyFont="1" applyBorder="1" applyAlignment="1">
      <alignment vertical="center" wrapText="1"/>
    </xf>
    <xf numFmtId="0" fontId="3" fillId="5" borderId="1" xfId="0" applyFont="1" applyBorder="1" applyAlignment="1">
      <alignment horizontal="center" vertical="center"/>
    </xf>
    <xf numFmtId="0" fontId="4" fillId="5" borderId="1" xfId="0" applyFont="1" applyBorder="1" applyAlignment="1">
      <alignment vertical="center" wrapText="1"/>
    </xf>
    <xf numFmtId="0" fontId="5" fillId="5" borderId="1" xfId="0" applyFont="1" applyBorder="1" applyAlignment="1">
      <alignment horizontal="center" vertical="center" wrapText="1"/>
    </xf>
    <xf numFmtId="0" fontId="5" fillId="5" borderId="1" xfId="0" applyFont="1" applyBorder="1" applyAlignment="1">
      <alignment horizontal="center" vertical="center"/>
    </xf>
    <xf numFmtId="0" fontId="5" fillId="5" borderId="1" xfId="0" applyFont="1" applyBorder="1" applyAlignment="1">
      <alignment vertical="center" wrapText="1"/>
    </xf>
    <xf numFmtId="0" fontId="3" fillId="6" borderId="1" xfId="0" applyFont="1" applyBorder="1" applyAlignment="1">
      <alignment horizontal="center" vertical="center"/>
    </xf>
    <xf numFmtId="0" fontId="4" fillId="6" borderId="1" xfId="0" applyFont="1" applyBorder="1" applyAlignment="1">
      <alignment vertical="center" wrapText="1"/>
    </xf>
    <xf numFmtId="0" fontId="5" fillId="6" borderId="1" xfId="0" applyFont="1" applyBorder="1" applyAlignment="1">
      <alignment horizontal="center" vertical="center" wrapText="1"/>
    </xf>
    <xf numFmtId="0" fontId="5" fillId="6" borderId="1" xfId="0" applyFont="1" applyBorder="1" applyAlignment="1">
      <alignment horizontal="center" vertical="center"/>
    </xf>
    <xf numFmtId="0" fontId="5" fillId="6" borderId="1" xfId="0" applyFont="1" applyBorder="1" applyAlignment="1">
      <alignment vertical="center" wrapText="1"/>
    </xf>
    <xf numFmtId="0" fontId="3" fillId="7" borderId="1" xfId="0" applyFont="1" applyBorder="1" applyAlignment="1">
      <alignment horizontal="center" vertical="center"/>
    </xf>
    <xf numFmtId="0" fontId="4" fillId="7" borderId="1" xfId="0" applyFont="1" applyBorder="1" applyAlignment="1">
      <alignment vertical="center" wrapText="1"/>
    </xf>
    <xf numFmtId="0" fontId="5" fillId="7" borderId="1" xfId="0" applyFont="1" applyBorder="1" applyAlignment="1">
      <alignment horizontal="center" vertical="center" wrapText="1"/>
    </xf>
    <xf numFmtId="0" fontId="5" fillId="7" borderId="1" xfId="0" applyFont="1" applyBorder="1" applyAlignment="1">
      <alignment horizontal="center" vertical="center"/>
    </xf>
    <xf numFmtId="0" fontId="5" fillId="7" borderId="1" xfId="0" applyFont="1" applyBorder="1" applyAlignment="1">
      <alignment vertical="center" wrapText="1"/>
    </xf>
    <xf numFmtId="0" fontId="3" fillId="0" borderId="0" xfId="0" applyFont="1" applyAlignment="1">
      <alignment vertical="bottom"/>
    </xf>
    <xf numFmtId="0" fontId="8" fillId="8" borderId="1" xfId="0" applyFont="1" applyBorder="1" applyAlignment="1">
      <alignment horizontal="center" vertical="bottom" wrapText="1"/>
    </xf>
    <xf numFmtId="0" fontId="8" fillId="9" borderId="1" xfId="0" applyFont="1" applyBorder="1" applyAlignment="1">
      <alignment horizontal="center" vertical="bottom" wrapText="1"/>
    </xf>
    <xf numFmtId="0" fontId="8" fillId="10" borderId="1" xfId="0" applyFont="1" applyBorder="1" applyAlignment="1">
      <alignment horizontal="center" vertical="bottom" wrapText="1"/>
    </xf>
    <xf numFmtId="0" fontId="8" fillId="11" borderId="1" xfId="0" applyFont="1" applyBorder="1" applyAlignment="1">
      <alignment horizontal="center" vertical="bottom" wrapText="1"/>
    </xf>
    <xf numFmtId="0" fontId="8" fillId="12" borderId="1" xfId="0" applyFont="1" applyBorder="1" applyAlignment="1">
      <alignment horizontal="center" vertical="bottom" wrapText="1"/>
    </xf>
    <xf numFmtId="0" fontId="8" fillId="13" borderId="1" xfId="0" applyFont="1" applyBorder="1" applyAlignment="1">
      <alignment horizontal="center" vertical="bottom" wrapText="1"/>
    </xf>
    <xf numFmtId="164" fontId="9" fillId="14" borderId="2" xfId="0" applyFont="1" applyBorder="1" applyAlignment="1">
      <alignment vertical="bottom"/>
    </xf>
    <xf numFmtId="0" fontId="10" fillId="2" borderId="3" xfId="0" applyFont="1" applyBorder="1" applyAlignment="1">
      <alignment horizontal="center" vertical="center" wrapText="1"/>
    </xf>
    <xf numFmtId="0" fontId="11" fillId="2" borderId="3" xfId="0" applyFont="1" applyBorder="1" applyAlignment="1">
      <alignment horizontal="center" vertical="center"/>
    </xf>
    <xf numFmtId="0" fontId="12" fillId="0" borderId="0" xfId="0" applyFont="1" applyAlignment="1">
      <alignment vertical="bottom"/>
    </xf>
    <xf numFmtId="165" fontId="13" fillId="0" borderId="3" xfId="0" applyFont="1" applyBorder="1" applyAlignment="1">
      <alignment horizontal="center" vertical="bottom"/>
    </xf>
    <xf numFmtId="0" fontId="3" fillId="3" borderId="3" xfId="0" applyFont="1" applyBorder="1" applyAlignment="1">
      <alignment horizontal="center" vertical="center"/>
    </xf>
    <xf numFmtId="0" fontId="3" fillId="3" borderId="3" xfId="0" applyFont="1" applyBorder="1" applyAlignment="1">
      <alignment vertical="center" wrapText="1"/>
    </xf>
    <xf numFmtId="0" fontId="3" fillId="3" borderId="3" xfId="0" applyFont="1" applyBorder="1" applyAlignment="1">
      <alignment horizontal="center" vertical="center" wrapText="1"/>
    </xf>
    <xf numFmtId="0" fontId="14" fillId="3" borderId="3" xfId="0" applyBorder="1" applyAlignment="1">
      <alignment vertical="bottom"/>
    </xf>
    <xf numFmtId="0" fontId="14" fillId="15" borderId="3" xfId="0" applyBorder="1" applyAlignment="1">
      <alignment vertical="bottom"/>
    </xf>
    <xf numFmtId="0" fontId="15" fillId="16" borderId="3" xfId="0" applyFont="1" applyBorder="1" applyAlignment="1">
      <alignment horizontal="center" vertical="center"/>
    </xf>
    <xf numFmtId="0" fontId="15" fillId="16" borderId="3" xfId="0" applyFont="1" applyBorder="1" applyAlignment="1">
      <alignment vertical="center" wrapText="1" indent="1"/>
    </xf>
    <xf numFmtId="0" fontId="15" fillId="16" borderId="3" xfId="0" applyFont="1" applyBorder="1" applyAlignment="1">
      <alignment horizontal="center" vertical="center" wrapText="1"/>
    </xf>
    <xf numFmtId="0" fontId="14" fillId="8" borderId="3" xfId="0" applyBorder="1" applyAlignment="1">
      <alignment vertical="bottom"/>
    </xf>
    <xf numFmtId="0" fontId="14" fillId="17" borderId="3" xfId="0" applyBorder="1" applyAlignment="1">
      <alignment vertical="bottom"/>
    </xf>
    <xf numFmtId="0" fontId="15" fillId="15" borderId="3" xfId="0" applyFont="1" applyBorder="1" applyAlignment="1">
      <alignment horizontal="center" vertical="center"/>
    </xf>
    <xf numFmtId="0" fontId="15" fillId="15" borderId="3" xfId="0" applyFont="1" applyBorder="1" applyAlignment="1">
      <alignment vertical="center" wrapText="1" indent="1"/>
    </xf>
    <xf numFmtId="0" fontId="15" fillId="15" borderId="3" xfId="0" applyFont="1" applyBorder="1" applyAlignment="1">
      <alignment horizontal="center" vertical="center" wrapText="1"/>
    </xf>
    <xf numFmtId="0" fontId="14" fillId="9" borderId="3" xfId="0" applyBorder="1" applyAlignment="1">
      <alignment vertical="bottom"/>
    </xf>
    <xf numFmtId="0" fontId="14" fillId="12" borderId="3" xfId="0" applyBorder="1" applyAlignment="1">
      <alignment vertical="bottom"/>
    </xf>
    <xf numFmtId="0" fontId="14" fillId="11" borderId="3" xfId="0" applyBorder="1" applyAlignment="1">
      <alignment vertical="bottom"/>
    </xf>
    <xf numFmtId="0" fontId="14" fillId="10" borderId="3" xfId="0" applyBorder="1" applyAlignment="1">
      <alignment vertical="bottom"/>
    </xf>
    <xf numFmtId="0" fontId="3" fillId="4" borderId="3" xfId="0" applyFont="1" applyBorder="1" applyAlignment="1">
      <alignment horizontal="center" vertical="center"/>
    </xf>
    <xf numFmtId="0" fontId="3" fillId="4" borderId="3" xfId="0" applyFont="1" applyBorder="1" applyAlignment="1">
      <alignment vertical="center" wrapText="1"/>
    </xf>
    <xf numFmtId="0" fontId="3" fillId="4" borderId="3" xfId="0" applyFont="1" applyBorder="1" applyAlignment="1">
      <alignment horizontal="center" vertical="center" wrapText="1"/>
    </xf>
    <xf numFmtId="0" fontId="14" fillId="4" borderId="3" xfId="0" applyBorder="1" applyAlignment="1">
      <alignment vertical="bottom"/>
    </xf>
    <xf numFmtId="0" fontId="3" fillId="5" borderId="3" xfId="0" applyFont="1" applyBorder="1" applyAlignment="1">
      <alignment horizontal="center" vertical="center"/>
    </xf>
    <xf numFmtId="0" fontId="3" fillId="5" borderId="3" xfId="0" applyFont="1" applyBorder="1" applyAlignment="1">
      <alignment vertical="center" wrapText="1"/>
    </xf>
    <xf numFmtId="0" fontId="3" fillId="5" borderId="3" xfId="0" applyFont="1" applyBorder="1" applyAlignment="1">
      <alignment horizontal="center" vertical="center" wrapText="1"/>
    </xf>
    <xf numFmtId="0" fontId="14" fillId="5" borderId="3" xfId="0" applyBorder="1" applyAlignment="1">
      <alignment vertical="bottom"/>
    </xf>
    <xf numFmtId="0" fontId="3" fillId="6" borderId="3" xfId="0" applyFont="1" applyBorder="1" applyAlignment="1">
      <alignment horizontal="center" vertical="center"/>
    </xf>
    <xf numFmtId="0" fontId="3" fillId="6" borderId="3" xfId="0" applyFont="1" applyBorder="1" applyAlignment="1">
      <alignment vertical="center" wrapText="1"/>
    </xf>
    <xf numFmtId="0" fontId="3" fillId="6" borderId="3" xfId="0" applyFont="1" applyBorder="1" applyAlignment="1">
      <alignment horizontal="center" vertical="center" wrapText="1"/>
    </xf>
    <xf numFmtId="0" fontId="14" fillId="6" borderId="3" xfId="0" applyBorder="1" applyAlignment="1">
      <alignment vertical="bottom"/>
    </xf>
    <xf numFmtId="0" fontId="3" fillId="7" borderId="3" xfId="0" applyFont="1" applyBorder="1" applyAlignment="1">
      <alignment horizontal="center" vertical="center"/>
    </xf>
    <xf numFmtId="0" fontId="3" fillId="7" borderId="3" xfId="0" applyFont="1" applyBorder="1" applyAlignment="1">
      <alignment vertical="center" wrapText="1"/>
    </xf>
    <xf numFmtId="0" fontId="3" fillId="7" borderId="3" xfId="0" applyFont="1" applyBorder="1" applyAlignment="1">
      <alignment horizontal="center" vertical="center" wrapText="1"/>
    </xf>
    <xf numFmtId="0" fontId="14" fillId="7" borderId="3" xfId="0" applyBorder="1" applyAlignment="1">
      <alignment vertical="bottom"/>
    </xf>
    <xf numFmtId="0" fontId="14" fillId="13" borderId="3" xfId="0" applyBorder="1" applyAlignment="1">
      <alignment vertical="bottom"/>
    </xf>
    <xf numFmtId="0" fontId="8" fillId="8" borderId="3" xfId="0" applyFont="1" applyBorder="1" applyAlignment="1">
      <alignment horizontal="center" vertical="bottom" wrapText="1"/>
    </xf>
    <xf numFmtId="0" fontId="8" fillId="9" borderId="3" xfId="0" applyFont="1" applyBorder="1" applyAlignment="1">
      <alignment horizontal="center" vertical="bottom" wrapText="1"/>
    </xf>
    <xf numFmtId="0" fontId="8" fillId="10" borderId="3" xfId="0" applyFont="1" applyBorder="1" applyAlignment="1">
      <alignment horizontal="center" vertical="bottom" wrapText="1"/>
    </xf>
    <xf numFmtId="0" fontId="8" fillId="11" borderId="3" xfId="0" applyFont="1" applyBorder="1" applyAlignment="1">
      <alignment horizontal="center" vertical="bottom" wrapText="1"/>
    </xf>
    <xf numFmtId="0" fontId="8" fillId="12" borderId="3" xfId="0" applyFont="1" applyBorder="1" applyAlignment="1">
      <alignment horizontal="center" vertical="bottom" wrapText="1"/>
    </xf>
    <xf numFmtId="0" fontId="8" fillId="13" borderId="3" xfId="0" applyFont="1" applyBorder="1" applyAlignment="1">
      <alignment horizontal="center" vertical="bottom" wrapText="1"/>
    </xf>
    <xf numFmtId="0" fontId="12" fillId="0" borderId="0" xfId="0" applyFont="1" applyBorder="1" applyAlignment="1">
      <alignment vertical="bottom" wrapText="1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8EA9DB"/>
      <rgbColor rgb="00993366"/>
      <rgbColor rgb="00FFF2CC"/>
      <rgbColor rgb="00DDEBF7"/>
      <rgbColor rgb="00660066"/>
      <rgbColor rgb="00FF8080"/>
      <rgbColor rgb="000066CC"/>
      <rgbColor rgb="00D9D9D9"/>
      <rgbColor rgb="00000080"/>
      <rgbColor rgb="00FF00FF"/>
      <rgbColor rgb="00FAFAFA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CE4D6"/>
      <rgbColor rgb="00A9D18E"/>
      <rgbColor rgb="00F4B183"/>
      <rgbColor rgb="00D999D9"/>
      <rgbColor rgb="00F8CBAD"/>
      <rgbColor rgb="003366FF"/>
      <rgbColor rgb="0033CCCC"/>
      <rgbColor rgb="0099CC00"/>
      <rgbColor rgb="00FFD966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36"/>
  <sheetViews>
    <sheetView tabSelected="1" workbookViewId="0" showGridLines="0">
      <pane ySplit="3" topLeftCell="A4" state="frozen" activePane="bottomLeft"/>
      <selection pane="bottomLeft" activeCell="A1" sqref="A1:G1"/>
    </sheetView>
  </sheetViews>
  <sheetFormatPr defaultRowHeight="15.0" defaultColWidth="10" zeroHeight="1"/>
  <cols>
    <col min="1" max="1" customWidth="1" width="8.0" style="0"/>
    <col min="2" max="2" customWidth="1" width="46.0" style="0"/>
    <col min="3" max="3" customWidth="1" width="22.0" style="0"/>
    <col min="4" max="6" customWidth="1" width="10.0" style="0"/>
    <col min="7" max="7" customWidth="1" width="34.0" style="0"/>
  </cols>
  <sheetData>
    <row r="1" spans="8:8" ht="24.0" customHeight="1">
      <c r="A1" s="1" t="s">
        <v>0</v>
      </c>
      <c r="B1" s="1"/>
      <c r="C1" s="1"/>
      <c r="D1" s="1"/>
      <c r="E1" s="1"/>
      <c r="F1" s="1"/>
      <c r="G1" s="1"/>
    </row>
    <row r="3" spans="8:8" ht="25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8:8" ht="18.0" customHeight="1">
      <c r="A4" s="3" t="s">
        <v>8</v>
      </c>
      <c r="B4" s="4" t="s">
        <v>9</v>
      </c>
      <c r="C4" s="5"/>
      <c r="D4" s="6"/>
      <c r="E4" s="6"/>
      <c r="F4" s="6"/>
      <c r="G4" s="7"/>
    </row>
    <row r="5" spans="8:8" ht="31.5" customHeight="1">
      <c r="A5" s="8" t="s">
        <v>10</v>
      </c>
      <c r="B5" s="9" t="s">
        <v>11</v>
      </c>
      <c r="C5" s="10" t="s">
        <v>12</v>
      </c>
      <c r="D5" s="11">
        <v>1.0</v>
      </c>
      <c r="E5" s="11">
        <v>3.0</v>
      </c>
      <c r="F5" s="11">
        <f>E5-D5+1</f>
        <v>3.0</v>
      </c>
      <c r="G5" s="12" t="s">
        <v>13</v>
      </c>
    </row>
    <row r="6" spans="8:8" ht="31.5" customHeight="1">
      <c r="A6" s="8" t="s">
        <v>14</v>
      </c>
      <c r="B6" s="9" t="s">
        <v>15</v>
      </c>
      <c r="C6" s="10" t="s">
        <v>16</v>
      </c>
      <c r="D6" s="11">
        <v>1.0</v>
      </c>
      <c r="E6" s="11">
        <v>3.0</v>
      </c>
      <c r="F6" s="11">
        <f>E6-D6+1</f>
        <v>3.0</v>
      </c>
      <c r="G6" s="12" t="s">
        <v>17</v>
      </c>
    </row>
    <row r="7" spans="8:8" ht="31.5" customHeight="1">
      <c r="A7" s="8" t="s">
        <v>18</v>
      </c>
      <c r="B7" s="9" t="s">
        <v>19</v>
      </c>
      <c r="C7" s="10" t="s">
        <v>20</v>
      </c>
      <c r="D7" s="11">
        <v>1.0</v>
      </c>
      <c r="E7" s="11">
        <v>3.0</v>
      </c>
      <c r="F7" s="11">
        <f>E7-D7+1</f>
        <v>3.0</v>
      </c>
      <c r="G7" s="12" t="s">
        <v>21</v>
      </c>
    </row>
    <row r="8" spans="8:8" ht="31.5" customHeight="1">
      <c r="A8" s="8" t="s">
        <v>22</v>
      </c>
      <c r="B8" s="9" t="s">
        <v>23</v>
      </c>
      <c r="C8" s="10" t="s">
        <v>24</v>
      </c>
      <c r="D8" s="11">
        <v>1.0</v>
      </c>
      <c r="E8" s="11">
        <v>3.0</v>
      </c>
      <c r="F8" s="11">
        <f>E8-D8+1</f>
        <v>3.0</v>
      </c>
      <c r="G8" s="12" t="s">
        <v>25</v>
      </c>
    </row>
    <row r="9" spans="8:8" ht="31.5" customHeight="1">
      <c r="A9" s="8" t="s">
        <v>26</v>
      </c>
      <c r="B9" s="9" t="s">
        <v>27</v>
      </c>
      <c r="C9" s="10" t="s">
        <v>28</v>
      </c>
      <c r="D9" s="11">
        <v>1.0</v>
      </c>
      <c r="E9" s="11">
        <v>3.0</v>
      </c>
      <c r="F9" s="11">
        <f>E9-D9+1</f>
        <v>3.0</v>
      </c>
      <c r="G9" s="12" t="s">
        <v>29</v>
      </c>
    </row>
    <row r="10" spans="8:8" ht="18.0" customHeight="1">
      <c r="A10" s="13" t="s">
        <v>30</v>
      </c>
      <c r="B10" s="14" t="s">
        <v>31</v>
      </c>
      <c r="C10" s="15"/>
      <c r="D10" s="16"/>
      <c r="E10" s="16"/>
      <c r="F10" s="16"/>
      <c r="G10" s="17"/>
    </row>
    <row r="11" spans="8:8" ht="31.5" customHeight="1">
      <c r="A11" s="8" t="s">
        <v>32</v>
      </c>
      <c r="B11" s="9" t="s">
        <v>33</v>
      </c>
      <c r="C11" s="10" t="s">
        <v>12</v>
      </c>
      <c r="D11" s="11">
        <v>4.0</v>
      </c>
      <c r="E11" s="11">
        <v>4.0</v>
      </c>
      <c r="F11" s="11">
        <f>E11-D11+1</f>
        <v>1.0</v>
      </c>
      <c r="G11" s="12" t="s">
        <v>34</v>
      </c>
    </row>
    <row r="12" spans="8:8" ht="31.5" customHeight="1">
      <c r="A12" s="8" t="s">
        <v>35</v>
      </c>
      <c r="B12" s="9" t="s">
        <v>36</v>
      </c>
      <c r="C12" s="10" t="s">
        <v>16</v>
      </c>
      <c r="D12" s="11">
        <v>4.0</v>
      </c>
      <c r="E12" s="11">
        <v>6.0</v>
      </c>
      <c r="F12" s="11">
        <f>E12-D12+1</f>
        <v>3.0</v>
      </c>
      <c r="G12" s="12" t="s">
        <v>37</v>
      </c>
    </row>
    <row r="13" spans="8:8" ht="31.5" customHeight="1">
      <c r="A13" s="8" t="s">
        <v>38</v>
      </c>
      <c r="B13" s="9" t="s">
        <v>39</v>
      </c>
      <c r="C13" s="10" t="s">
        <v>16</v>
      </c>
      <c r="D13" s="11">
        <v>7.0</v>
      </c>
      <c r="E13" s="11">
        <v>7.0</v>
      </c>
      <c r="F13" s="11">
        <f>E13-D13+1</f>
        <v>1.0</v>
      </c>
      <c r="G13" s="12" t="s">
        <v>40</v>
      </c>
    </row>
    <row r="14" spans="8:8" ht="31.5" customHeight="1">
      <c r="A14" s="8" t="s">
        <v>41</v>
      </c>
      <c r="B14" s="9" t="s">
        <v>42</v>
      </c>
      <c r="C14" s="10" t="s">
        <v>24</v>
      </c>
      <c r="D14" s="11">
        <v>4.0</v>
      </c>
      <c r="E14" s="11">
        <v>6.0</v>
      </c>
      <c r="F14" s="11">
        <f>E14-D14+1</f>
        <v>3.0</v>
      </c>
      <c r="G14" s="12" t="s">
        <v>43</v>
      </c>
    </row>
    <row r="15" spans="8:8" ht="31.5" customHeight="1">
      <c r="A15" s="8" t="s">
        <v>44</v>
      </c>
      <c r="B15" s="9" t="s">
        <v>45</v>
      </c>
      <c r="C15" s="10" t="s">
        <v>20</v>
      </c>
      <c r="D15" s="11">
        <v>4.0</v>
      </c>
      <c r="E15" s="11">
        <v>6.0</v>
      </c>
      <c r="F15" s="11">
        <f>E15-D15+1</f>
        <v>3.0</v>
      </c>
      <c r="G15" s="12" t="s">
        <v>46</v>
      </c>
    </row>
    <row r="16" spans="8:8" ht="31.5" customHeight="1">
      <c r="A16" s="8" t="s">
        <v>47</v>
      </c>
      <c r="B16" s="9" t="s">
        <v>48</v>
      </c>
      <c r="C16" s="10" t="s">
        <v>28</v>
      </c>
      <c r="D16" s="11">
        <v>4.0</v>
      </c>
      <c r="E16" s="11">
        <v>7.0</v>
      </c>
      <c r="F16" s="11">
        <f>E16-D16+1</f>
        <v>4.0</v>
      </c>
      <c r="G16" s="12" t="s">
        <v>49</v>
      </c>
    </row>
    <row r="17" spans="8:8" ht="18.0" customHeight="1">
      <c r="A17" s="18" t="s">
        <v>50</v>
      </c>
      <c r="B17" s="19" t="s">
        <v>51</v>
      </c>
      <c r="C17" s="20"/>
      <c r="D17" s="21"/>
      <c r="E17" s="21"/>
      <c r="F17" s="21"/>
      <c r="G17" s="22"/>
    </row>
    <row r="18" spans="8:8" ht="31.5" customHeight="1">
      <c r="A18" s="8" t="s">
        <v>52</v>
      </c>
      <c r="B18" s="9" t="s">
        <v>53</v>
      </c>
      <c r="C18" s="10" t="s">
        <v>16</v>
      </c>
      <c r="D18" s="11">
        <v>8.0</v>
      </c>
      <c r="E18" s="11">
        <v>9.0</v>
      </c>
      <c r="F18" s="11">
        <f>E18-D18+1</f>
        <v>2.0</v>
      </c>
      <c r="G18" s="12" t="s">
        <v>54</v>
      </c>
    </row>
    <row r="19" spans="8:8" ht="31.5" customHeight="1">
      <c r="A19" s="8" t="s">
        <v>55</v>
      </c>
      <c r="B19" s="9" t="s">
        <v>56</v>
      </c>
      <c r="C19" s="10" t="s">
        <v>28</v>
      </c>
      <c r="D19" s="11">
        <v>8.0</v>
      </c>
      <c r="E19" s="11">
        <v>10.0</v>
      </c>
      <c r="F19" s="11">
        <f>E19-D19+1</f>
        <v>3.0</v>
      </c>
      <c r="G19" s="12" t="s">
        <v>57</v>
      </c>
    </row>
    <row r="20" spans="8:8" ht="31.5" customHeight="1">
      <c r="A20" s="8" t="s">
        <v>58</v>
      </c>
      <c r="B20" s="9" t="s">
        <v>59</v>
      </c>
      <c r="C20" s="10" t="s">
        <v>24</v>
      </c>
      <c r="D20" s="11">
        <v>9.0</v>
      </c>
      <c r="E20" s="11">
        <v>11.0</v>
      </c>
      <c r="F20" s="11">
        <f>E20-D20+1</f>
        <v>3.0</v>
      </c>
      <c r="G20" s="12" t="s">
        <v>60</v>
      </c>
    </row>
    <row r="21" spans="8:8" ht="31.5" customHeight="1">
      <c r="A21" s="8" t="s">
        <v>61</v>
      </c>
      <c r="B21" s="9" t="s">
        <v>62</v>
      </c>
      <c r="C21" s="10" t="s">
        <v>20</v>
      </c>
      <c r="D21" s="11">
        <v>8.0</v>
      </c>
      <c r="E21" s="11">
        <v>11.0</v>
      </c>
      <c r="F21" s="11">
        <f>E21-D21+1</f>
        <v>4.0</v>
      </c>
      <c r="G21" s="12" t="s">
        <v>63</v>
      </c>
    </row>
    <row r="22" spans="8:8" ht="31.5" customHeight="1">
      <c r="A22" s="8" t="s">
        <v>64</v>
      </c>
      <c r="B22" s="9" t="s">
        <v>65</v>
      </c>
      <c r="C22" s="10" t="s">
        <v>12</v>
      </c>
      <c r="D22" s="11">
        <v>10.0</v>
      </c>
      <c r="E22" s="11">
        <v>11.0</v>
      </c>
      <c r="F22" s="11">
        <f>E22-D22+1</f>
        <v>2.0</v>
      </c>
      <c r="G22" s="12" t="s">
        <v>66</v>
      </c>
    </row>
    <row r="23" spans="8:8" ht="18.0" customHeight="1">
      <c r="A23" s="23" t="s">
        <v>67</v>
      </c>
      <c r="B23" s="24" t="s">
        <v>68</v>
      </c>
      <c r="C23" s="25"/>
      <c r="D23" s="26"/>
      <c r="E23" s="26"/>
      <c r="F23" s="26"/>
      <c r="G23" s="27"/>
    </row>
    <row r="24" spans="8:8" ht="31.5" customHeight="1">
      <c r="A24" s="8" t="s">
        <v>69</v>
      </c>
      <c r="B24" s="9" t="s">
        <v>70</v>
      </c>
      <c r="C24" s="10" t="s">
        <v>12</v>
      </c>
      <c r="D24" s="11">
        <v>12.0</v>
      </c>
      <c r="E24" s="11">
        <v>13.0</v>
      </c>
      <c r="F24" s="11">
        <f>E24-D24+1</f>
        <v>2.0</v>
      </c>
      <c r="G24" s="12" t="s">
        <v>71</v>
      </c>
    </row>
    <row r="25" spans="8:8" ht="31.5" customHeight="1">
      <c r="A25" s="8" t="s">
        <v>72</v>
      </c>
      <c r="B25" s="9" t="s">
        <v>73</v>
      </c>
      <c r="C25" s="10" t="s">
        <v>16</v>
      </c>
      <c r="D25" s="11">
        <v>12.0</v>
      </c>
      <c r="E25" s="11">
        <v>12.0</v>
      </c>
      <c r="F25" s="11">
        <f>E25-D25+1</f>
        <v>1.0</v>
      </c>
      <c r="G25" s="12" t="s">
        <v>74</v>
      </c>
    </row>
    <row r="26" spans="8:8" ht="31.5" customHeight="1">
      <c r="A26" s="8" t="s">
        <v>75</v>
      </c>
      <c r="B26" s="9" t="s">
        <v>76</v>
      </c>
      <c r="C26" s="10" t="s">
        <v>28</v>
      </c>
      <c r="D26" s="11">
        <v>12.0</v>
      </c>
      <c r="E26" s="11">
        <v>13.0</v>
      </c>
      <c r="F26" s="11">
        <f>E26-D26+1</f>
        <v>2.0</v>
      </c>
      <c r="G26" s="12" t="s">
        <v>77</v>
      </c>
    </row>
    <row r="27" spans="8:8" ht="31.5" customHeight="1">
      <c r="A27" s="8" t="s">
        <v>78</v>
      </c>
      <c r="B27" s="9" t="s">
        <v>79</v>
      </c>
      <c r="C27" s="10" t="s">
        <v>24</v>
      </c>
      <c r="D27" s="11">
        <v>12.0</v>
      </c>
      <c r="E27" s="11">
        <v>12.0</v>
      </c>
      <c r="F27" s="11">
        <f>E27-D27+1</f>
        <v>1.0</v>
      </c>
      <c r="G27" s="12" t="s">
        <v>80</v>
      </c>
    </row>
    <row r="28" spans="8:8" ht="31.5" customHeight="1">
      <c r="A28" s="8" t="s">
        <v>81</v>
      </c>
      <c r="B28" s="9" t="s">
        <v>82</v>
      </c>
      <c r="C28" s="10" t="s">
        <v>20</v>
      </c>
      <c r="D28" s="11">
        <v>12.0</v>
      </c>
      <c r="E28" s="11">
        <v>12.0</v>
      </c>
      <c r="F28" s="11">
        <f>E28-D28+1</f>
        <v>1.0</v>
      </c>
      <c r="G28" s="12" t="s">
        <v>83</v>
      </c>
    </row>
    <row r="29" spans="8:8" ht="31.5" customHeight="1">
      <c r="A29" s="8" t="s">
        <v>84</v>
      </c>
      <c r="B29" s="9" t="s">
        <v>85</v>
      </c>
      <c r="C29" s="10" t="s">
        <v>12</v>
      </c>
      <c r="D29" s="11">
        <v>13.0</v>
      </c>
      <c r="E29" s="11">
        <v>13.0</v>
      </c>
      <c r="F29" s="11">
        <f>E29-D29+1</f>
        <v>1.0</v>
      </c>
      <c r="G29" s="12" t="s">
        <v>86</v>
      </c>
    </row>
    <row r="30" spans="8:8" ht="18.0" customHeight="1">
      <c r="A30" s="28" t="s">
        <v>87</v>
      </c>
      <c r="B30" s="29" t="s">
        <v>88</v>
      </c>
      <c r="C30" s="30"/>
      <c r="D30" s="31"/>
      <c r="E30" s="31"/>
      <c r="F30" s="31"/>
      <c r="G30" s="32"/>
    </row>
    <row r="31" spans="8:8" ht="31.5" customHeight="1">
      <c r="A31" s="8" t="s">
        <v>89</v>
      </c>
      <c r="B31" s="9" t="s">
        <v>90</v>
      </c>
      <c r="C31" s="10" t="s">
        <v>91</v>
      </c>
      <c r="D31" s="11">
        <v>14.0</v>
      </c>
      <c r="E31" s="11">
        <v>14.0</v>
      </c>
      <c r="F31" s="11">
        <f>E31-D31+1</f>
        <v>1.0</v>
      </c>
      <c r="G31" s="12" t="s">
        <v>92</v>
      </c>
    </row>
    <row r="32" spans="8:8" ht="31.5" customHeight="1">
      <c r="A32" s="8" t="s">
        <v>93</v>
      </c>
      <c r="B32" s="9" t="s">
        <v>94</v>
      </c>
      <c r="C32" s="10" t="s">
        <v>12</v>
      </c>
      <c r="D32" s="11">
        <v>14.0</v>
      </c>
      <c r="E32" s="11">
        <v>14.0</v>
      </c>
      <c r="F32" s="11">
        <f>E32-D32+1</f>
        <v>1.0</v>
      </c>
      <c r="G32" s="12" t="s">
        <v>95</v>
      </c>
    </row>
    <row r="35" spans="8:8" ht="15.0">
      <c r="A35" s="33" t="s">
        <v>96</v>
      </c>
    </row>
    <row r="36" spans="8:8" ht="43.25">
      <c r="A36" s="34" t="s">
        <v>12</v>
      </c>
      <c r="B36" s="35" t="s">
        <v>16</v>
      </c>
      <c r="C36" s="36" t="s">
        <v>28</v>
      </c>
      <c r="D36" s="37" t="s">
        <v>24</v>
      </c>
      <c r="E36" s="38" t="s">
        <v>20</v>
      </c>
      <c r="F36" s="39" t="s">
        <v>91</v>
      </c>
    </row>
  </sheetData>
  <autoFilter ref="A3:G32">
    <filterColumn colId="0" showButton="1"/>
  </autoFilter>
  <mergeCells count="1">
    <mergeCell ref="A1:G1"/>
  </mergeCells>
  <pageMargins left="0.75" right="0.75" top="1.0" bottom="1.0" header="0.511811023622047" footer="0.511811023622047"/>
</worksheet>
</file>

<file path=xl/worksheets/sheet2.xml><?xml version="1.0" encoding="utf-8"?>
<worksheet xmlns:r="http://schemas.openxmlformats.org/officeDocument/2006/relationships" xmlns="http://schemas.openxmlformats.org/spreadsheetml/2006/main">
  <dimension ref="A1:W40"/>
  <sheetViews>
    <sheetView workbookViewId="0" showGridLines="0">
      <pane xSplit="6" ySplit="5" topLeftCell="G6" state="frozen" activePane="bottomRight"/>
      <selection pane="bottomRight" activeCell="A1" sqref="A1:T1"/>
    </sheetView>
  </sheetViews>
  <sheetFormatPr defaultRowHeight="15.0" defaultColWidth="10" zeroHeight="1"/>
  <cols>
    <col min="1" max="1" customWidth="1" width="8.0" style="0"/>
    <col min="2" max="2" customWidth="1" width="46.0" style="0"/>
    <col min="3" max="3" customWidth="1" width="22.0" style="0"/>
    <col min="4" max="6" customWidth="1" width="8.0" style="0"/>
    <col min="7" max="20" customWidth="1" width="3.0" style="0"/>
  </cols>
  <sheetData>
    <row r="1" spans="8:8" ht="24.0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8:8" ht="15.0">
      <c r="A2" s="33" t="s">
        <v>98</v>
      </c>
      <c r="B2" s="40" t="s">
        <v>99</v>
      </c>
      <c r="C2" s="40"/>
    </row>
    <row r="4" spans="8:8" ht="19.5" customHeight="1">
      <c r="A4" s="41" t="s">
        <v>100</v>
      </c>
      <c r="B4" s="41" t="s">
        <v>2</v>
      </c>
      <c r="C4" s="41" t="s">
        <v>3</v>
      </c>
      <c r="D4" s="41" t="s">
        <v>101</v>
      </c>
      <c r="E4" s="41" t="s">
        <v>102</v>
      </c>
      <c r="F4" s="41" t="s">
        <v>103</v>
      </c>
      <c r="G4" s="42">
        <v>1.0</v>
      </c>
      <c r="H4" s="42">
        <v>2.0</v>
      </c>
      <c r="I4" s="42">
        <v>3.0</v>
      </c>
      <c r="J4" s="42">
        <v>4.0</v>
      </c>
      <c r="K4" s="42">
        <v>5.0</v>
      </c>
      <c r="L4" s="42">
        <v>6.0</v>
      </c>
      <c r="M4" s="42">
        <v>7.0</v>
      </c>
      <c r="N4" s="42">
        <v>8.0</v>
      </c>
      <c r="O4" s="42">
        <v>9.0</v>
      </c>
      <c r="P4" s="42">
        <v>10.0</v>
      </c>
      <c r="Q4" s="42">
        <v>11.0</v>
      </c>
      <c r="R4" s="42">
        <v>12.0</v>
      </c>
      <c r="S4" s="42">
        <v>13.0</v>
      </c>
      <c r="T4" s="42">
        <v>14.0</v>
      </c>
    </row>
    <row r="5" spans="8:8" ht="13.5" customHeight="1">
      <c r="B5" s="43" t="s">
        <v>104</v>
      </c>
      <c r="G5" s="44">
        <f>$B$2+0</f>
        <v>46223.0</v>
      </c>
      <c r="H5" s="44">
        <f>$B$2+1</f>
        <v>46224.0</v>
      </c>
      <c r="I5" s="44">
        <f>$B$2+2</f>
        <v>46225.0</v>
      </c>
      <c r="J5" s="44">
        <f>$B$2+3</f>
        <v>46226.0</v>
      </c>
      <c r="K5" s="44">
        <f>$B$2+4</f>
        <v>46227.0</v>
      </c>
      <c r="L5" s="44">
        <f>$B$2+5</f>
        <v>46228.0</v>
      </c>
      <c r="M5" s="44">
        <f>$B$2+6</f>
        <v>46229.0</v>
      </c>
      <c r="N5" s="44">
        <f>$B$2+7</f>
        <v>46230.0</v>
      </c>
      <c r="O5" s="44">
        <f>$B$2+8</f>
        <v>46231.0</v>
      </c>
      <c r="P5" s="44">
        <f>$B$2+9</f>
        <v>46232.0</v>
      </c>
      <c r="Q5" s="44">
        <f>$B$2+10</f>
        <v>46233.0</v>
      </c>
      <c r="R5" s="44">
        <f>$B$2+11</f>
        <v>46234.0</v>
      </c>
      <c r="S5" s="44">
        <f>$B$2+12</f>
        <v>46235.0</v>
      </c>
      <c r="T5" s="44">
        <f>$B$2+13</f>
        <v>46236.0</v>
      </c>
    </row>
    <row r="6" spans="8:8" ht="18.0" customHeight="1">
      <c r="A6" s="45" t="s">
        <v>8</v>
      </c>
      <c r="B6" s="46" t="s">
        <v>9</v>
      </c>
      <c r="C6" s="47"/>
      <c r="D6" s="45">
        <v>1.0</v>
      </c>
      <c r="E6" s="45">
        <v>3.0</v>
      </c>
      <c r="F6" s="45">
        <f>E6-D6+1</f>
        <v>3.0</v>
      </c>
      <c r="G6" s="48"/>
      <c r="H6" s="48"/>
      <c r="I6" s="48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</row>
    <row r="7" spans="8:8" ht="15.75" customHeight="1">
      <c r="A7" s="50" t="s">
        <v>10</v>
      </c>
      <c r="B7" s="51" t="s">
        <v>11</v>
      </c>
      <c r="C7" s="52" t="s">
        <v>12</v>
      </c>
      <c r="D7" s="50">
        <v>1.0</v>
      </c>
      <c r="E7" s="50">
        <v>3.0</v>
      </c>
      <c r="F7" s="50">
        <f>E7-D7+1</f>
        <v>3.0</v>
      </c>
      <c r="G7" s="53"/>
      <c r="H7" s="53"/>
      <c r="I7" s="53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8:8" ht="15.75" customHeight="1">
      <c r="A8" s="55" t="s">
        <v>14</v>
      </c>
      <c r="B8" s="56" t="s">
        <v>15</v>
      </c>
      <c r="C8" s="57" t="s">
        <v>16</v>
      </c>
      <c r="D8" s="55">
        <v>1.0</v>
      </c>
      <c r="E8" s="55">
        <v>3.0</v>
      </c>
      <c r="F8" s="55">
        <f>E8-D8+1</f>
        <v>3.0</v>
      </c>
      <c r="G8" s="58"/>
      <c r="H8" s="58"/>
      <c r="I8" s="58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</row>
    <row r="9" spans="8:8" ht="15.75" customHeight="1">
      <c r="A9" s="50" t="s">
        <v>18</v>
      </c>
      <c r="B9" s="51" t="s">
        <v>19</v>
      </c>
      <c r="C9" s="52" t="s">
        <v>20</v>
      </c>
      <c r="D9" s="50">
        <v>1.0</v>
      </c>
      <c r="E9" s="50">
        <v>3.0</v>
      </c>
      <c r="F9" s="50">
        <f>E9-D9+1</f>
        <v>3.0</v>
      </c>
      <c r="G9" s="59"/>
      <c r="H9" s="59"/>
      <c r="I9" s="59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8:8" ht="15.75" customHeight="1">
      <c r="A10" s="55" t="s">
        <v>22</v>
      </c>
      <c r="B10" s="56" t="s">
        <v>23</v>
      </c>
      <c r="C10" s="57" t="s">
        <v>24</v>
      </c>
      <c r="D10" s="55">
        <v>1.0</v>
      </c>
      <c r="E10" s="55">
        <v>3.0</v>
      </c>
      <c r="F10" s="55">
        <f>E10-D10+1</f>
        <v>3.0</v>
      </c>
      <c r="G10" s="60"/>
      <c r="H10" s="60"/>
      <c r="I10" s="60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</row>
    <row r="11" spans="8:8" ht="15.75" customHeight="1">
      <c r="A11" s="50" t="s">
        <v>26</v>
      </c>
      <c r="B11" s="51" t="s">
        <v>27</v>
      </c>
      <c r="C11" s="52" t="s">
        <v>28</v>
      </c>
      <c r="D11" s="50">
        <v>1.0</v>
      </c>
      <c r="E11" s="50">
        <v>3.0</v>
      </c>
      <c r="F11" s="50">
        <f>E11-D11+1</f>
        <v>3.0</v>
      </c>
      <c r="G11" s="61"/>
      <c r="H11" s="61"/>
      <c r="I11" s="61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spans="8:8" ht="18.0" customHeight="1">
      <c r="A12" s="62" t="s">
        <v>30</v>
      </c>
      <c r="B12" s="63" t="s">
        <v>31</v>
      </c>
      <c r="C12" s="64"/>
      <c r="D12" s="62">
        <v>4.0</v>
      </c>
      <c r="E12" s="62">
        <v>7.0</v>
      </c>
      <c r="F12" s="62">
        <f>E12-D12+1</f>
        <v>4.0</v>
      </c>
      <c r="G12" s="49"/>
      <c r="H12" s="49"/>
      <c r="I12" s="49"/>
      <c r="J12" s="65"/>
      <c r="K12" s="65"/>
      <c r="L12" s="65"/>
      <c r="M12" s="65"/>
      <c r="N12" s="49"/>
      <c r="O12" s="49"/>
      <c r="P12" s="49"/>
      <c r="Q12" s="49"/>
      <c r="R12" s="49"/>
      <c r="S12" s="49"/>
      <c r="T12" s="49"/>
    </row>
    <row r="13" spans="8:8" ht="15.75" customHeight="1">
      <c r="A13" s="50" t="s">
        <v>32</v>
      </c>
      <c r="B13" s="51" t="s">
        <v>33</v>
      </c>
      <c r="C13" s="52" t="s">
        <v>12</v>
      </c>
      <c r="D13" s="50">
        <v>4.0</v>
      </c>
      <c r="E13" s="50">
        <v>4.0</v>
      </c>
      <c r="F13" s="50">
        <f>E13-D13+1</f>
        <v>1.0</v>
      </c>
      <c r="G13" s="54"/>
      <c r="H13" s="54"/>
      <c r="I13" s="54"/>
      <c r="J13" s="53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 spans="8:8" ht="15.75" customHeight="1">
      <c r="A14" s="55" t="s">
        <v>35</v>
      </c>
      <c r="B14" s="56" t="s">
        <v>36</v>
      </c>
      <c r="C14" s="57" t="s">
        <v>16</v>
      </c>
      <c r="D14" s="55">
        <v>4.0</v>
      </c>
      <c r="E14" s="55">
        <v>6.0</v>
      </c>
      <c r="F14" s="55">
        <f>E14-D14+1</f>
        <v>3.0</v>
      </c>
      <c r="G14" s="49"/>
      <c r="H14" s="49"/>
      <c r="I14" s="49"/>
      <c r="J14" s="58"/>
      <c r="K14" s="58"/>
      <c r="L14" s="58"/>
      <c r="M14" s="49"/>
      <c r="N14" s="49"/>
      <c r="O14" s="49"/>
      <c r="P14" s="49"/>
      <c r="Q14" s="49"/>
      <c r="R14" s="49"/>
      <c r="S14" s="49"/>
      <c r="T14" s="49"/>
    </row>
    <row r="15" spans="8:8" ht="15.75" customHeight="1">
      <c r="A15" s="50" t="s">
        <v>38</v>
      </c>
      <c r="B15" s="51" t="s">
        <v>39</v>
      </c>
      <c r="C15" s="52" t="s">
        <v>16</v>
      </c>
      <c r="D15" s="50">
        <v>7.0</v>
      </c>
      <c r="E15" s="50">
        <v>7.0</v>
      </c>
      <c r="F15" s="50">
        <f>E15-D15+1</f>
        <v>1.0</v>
      </c>
      <c r="G15" s="54"/>
      <c r="H15" s="54"/>
      <c r="I15" s="54"/>
      <c r="J15" s="54"/>
      <c r="K15" s="54"/>
      <c r="L15" s="54"/>
      <c r="M15" s="58"/>
      <c r="N15" s="54"/>
      <c r="O15" s="54"/>
      <c r="P15" s="54"/>
      <c r="Q15" s="54"/>
      <c r="R15" s="54"/>
      <c r="S15" s="54"/>
      <c r="T15" s="54"/>
    </row>
    <row r="16" spans="8:8" ht="15.75" customHeight="1">
      <c r="A16" s="55" t="s">
        <v>41</v>
      </c>
      <c r="B16" s="56" t="s">
        <v>42</v>
      </c>
      <c r="C16" s="57" t="s">
        <v>24</v>
      </c>
      <c r="D16" s="55">
        <v>4.0</v>
      </c>
      <c r="E16" s="55">
        <v>6.0</v>
      </c>
      <c r="F16" s="55">
        <f>E16-D16+1</f>
        <v>3.0</v>
      </c>
      <c r="G16" s="49"/>
      <c r="H16" s="49"/>
      <c r="I16" s="49"/>
      <c r="J16" s="60"/>
      <c r="K16" s="60"/>
      <c r="L16" s="60"/>
      <c r="M16" s="49"/>
      <c r="N16" s="49"/>
      <c r="O16" s="49"/>
      <c r="P16" s="49"/>
      <c r="Q16" s="49"/>
      <c r="R16" s="49"/>
      <c r="S16" s="49"/>
      <c r="T16" s="49"/>
    </row>
    <row r="17" spans="8:8" ht="15.75" customHeight="1">
      <c r="A17" s="50" t="s">
        <v>44</v>
      </c>
      <c r="B17" s="51" t="s">
        <v>45</v>
      </c>
      <c r="C17" s="52" t="s">
        <v>20</v>
      </c>
      <c r="D17" s="50">
        <v>4.0</v>
      </c>
      <c r="E17" s="50">
        <v>6.0</v>
      </c>
      <c r="F17" s="50">
        <f>E17-D17+1</f>
        <v>3.0</v>
      </c>
      <c r="G17" s="54"/>
      <c r="H17" s="54"/>
      <c r="I17" s="54"/>
      <c r="J17" s="59"/>
      <c r="K17" s="59"/>
      <c r="L17" s="59"/>
      <c r="M17" s="54"/>
      <c r="N17" s="54"/>
      <c r="O17" s="54"/>
      <c r="P17" s="54"/>
      <c r="Q17" s="54"/>
      <c r="R17" s="54"/>
      <c r="S17" s="54"/>
      <c r="T17" s="54"/>
    </row>
    <row r="18" spans="8:8" ht="15.75" customHeight="1">
      <c r="A18" s="55" t="s">
        <v>47</v>
      </c>
      <c r="B18" s="56" t="s">
        <v>48</v>
      </c>
      <c r="C18" s="57" t="s">
        <v>28</v>
      </c>
      <c r="D18" s="55">
        <v>4.0</v>
      </c>
      <c r="E18" s="55">
        <v>7.0</v>
      </c>
      <c r="F18" s="55">
        <f>E18-D18+1</f>
        <v>4.0</v>
      </c>
      <c r="G18" s="49"/>
      <c r="H18" s="49"/>
      <c r="I18" s="49"/>
      <c r="J18" s="61"/>
      <c r="K18" s="61"/>
      <c r="L18" s="61"/>
      <c r="M18" s="61"/>
      <c r="N18" s="49"/>
      <c r="O18" s="49"/>
      <c r="P18" s="49"/>
      <c r="Q18" s="49"/>
      <c r="R18" s="49"/>
      <c r="S18" s="49"/>
      <c r="T18" s="49"/>
    </row>
    <row r="19" spans="8:8" ht="18.0" customHeight="1">
      <c r="A19" s="66" t="s">
        <v>50</v>
      </c>
      <c r="B19" s="67" t="s">
        <v>51</v>
      </c>
      <c r="C19" s="68"/>
      <c r="D19" s="66">
        <v>8.0</v>
      </c>
      <c r="E19" s="66">
        <v>11.0</v>
      </c>
      <c r="F19" s="66">
        <f>E19-D19+1</f>
        <v>4.0</v>
      </c>
      <c r="G19" s="54"/>
      <c r="H19" s="54"/>
      <c r="I19" s="54"/>
      <c r="J19" s="54"/>
      <c r="K19" s="54"/>
      <c r="L19" s="54"/>
      <c r="M19" s="54"/>
      <c r="N19" s="69"/>
      <c r="O19" s="69"/>
      <c r="P19" s="69"/>
      <c r="Q19" s="69"/>
      <c r="R19" s="54"/>
      <c r="S19" s="54"/>
      <c r="T19" s="54"/>
    </row>
    <row r="20" spans="8:8" ht="15.75" customHeight="1">
      <c r="A20" s="55" t="s">
        <v>52</v>
      </c>
      <c r="B20" s="56" t="s">
        <v>53</v>
      </c>
      <c r="C20" s="57" t="s">
        <v>16</v>
      </c>
      <c r="D20" s="55">
        <v>8.0</v>
      </c>
      <c r="E20" s="55">
        <v>9.0</v>
      </c>
      <c r="F20" s="55">
        <f>E20-D20+1</f>
        <v>2.0</v>
      </c>
      <c r="G20" s="49"/>
      <c r="H20" s="49"/>
      <c r="I20" s="49"/>
      <c r="J20" s="49"/>
      <c r="K20" s="49"/>
      <c r="L20" s="49"/>
      <c r="M20" s="49"/>
      <c r="N20" s="58"/>
      <c r="O20" s="58"/>
      <c r="P20" s="49"/>
      <c r="Q20" s="49"/>
      <c r="R20" s="49"/>
      <c r="S20" s="49"/>
      <c r="T20" s="49"/>
    </row>
    <row r="21" spans="8:8" ht="15.75" customHeight="1">
      <c r="A21" s="50" t="s">
        <v>55</v>
      </c>
      <c r="B21" s="51" t="s">
        <v>56</v>
      </c>
      <c r="C21" s="52" t="s">
        <v>28</v>
      </c>
      <c r="D21" s="50">
        <v>8.0</v>
      </c>
      <c r="E21" s="50">
        <v>10.0</v>
      </c>
      <c r="F21" s="50">
        <f>E21-D21+1</f>
        <v>3.0</v>
      </c>
      <c r="G21" s="54"/>
      <c r="H21" s="54"/>
      <c r="I21" s="54"/>
      <c r="J21" s="54"/>
      <c r="K21" s="54"/>
      <c r="L21" s="54"/>
      <c r="M21" s="54"/>
      <c r="N21" s="61"/>
      <c r="O21" s="61"/>
      <c r="P21" s="61"/>
      <c r="Q21" s="54"/>
      <c r="R21" s="54"/>
      <c r="S21" s="54"/>
      <c r="T21" s="54"/>
    </row>
    <row r="22" spans="8:8" ht="15.75" customHeight="1">
      <c r="A22" s="55" t="s">
        <v>58</v>
      </c>
      <c r="B22" s="56" t="s">
        <v>59</v>
      </c>
      <c r="C22" s="57" t="s">
        <v>24</v>
      </c>
      <c r="D22" s="55">
        <v>9.0</v>
      </c>
      <c r="E22" s="55">
        <v>11.0</v>
      </c>
      <c r="F22" s="55">
        <f>E22-D22+1</f>
        <v>3.0</v>
      </c>
      <c r="G22" s="49"/>
      <c r="H22" s="49"/>
      <c r="I22" s="49"/>
      <c r="J22" s="49"/>
      <c r="K22" s="49"/>
      <c r="L22" s="49"/>
      <c r="M22" s="49"/>
      <c r="N22" s="49"/>
      <c r="O22" s="60"/>
      <c r="P22" s="60"/>
      <c r="Q22" s="60"/>
      <c r="R22" s="49"/>
      <c r="S22" s="49"/>
      <c r="T22" s="49"/>
    </row>
    <row r="23" spans="8:8" ht="15.75" customHeight="1">
      <c r="A23" s="50" t="s">
        <v>61</v>
      </c>
      <c r="B23" s="51" t="s">
        <v>62</v>
      </c>
      <c r="C23" s="52" t="s">
        <v>20</v>
      </c>
      <c r="D23" s="50">
        <v>8.0</v>
      </c>
      <c r="E23" s="50">
        <v>11.0</v>
      </c>
      <c r="F23" s="50">
        <f>E23-D23+1</f>
        <v>4.0</v>
      </c>
      <c r="G23" s="54"/>
      <c r="H23" s="54"/>
      <c r="I23" s="54"/>
      <c r="J23" s="54"/>
      <c r="K23" s="54"/>
      <c r="L23" s="54"/>
      <c r="M23" s="54"/>
      <c r="N23" s="59"/>
      <c r="O23" s="59"/>
      <c r="P23" s="59"/>
      <c r="Q23" s="59"/>
      <c r="R23" s="54"/>
      <c r="S23" s="54"/>
      <c r="T23" s="54"/>
    </row>
    <row r="24" spans="8:8" ht="15.75" customHeight="1">
      <c r="A24" s="55" t="s">
        <v>64</v>
      </c>
      <c r="B24" s="56" t="s">
        <v>65</v>
      </c>
      <c r="C24" s="57" t="s">
        <v>12</v>
      </c>
      <c r="D24" s="55">
        <v>10.0</v>
      </c>
      <c r="E24" s="55">
        <v>11.0</v>
      </c>
      <c r="F24" s="55">
        <f>E24-D24+1</f>
        <v>2.0</v>
      </c>
      <c r="G24" s="49"/>
      <c r="H24" s="49"/>
      <c r="I24" s="49"/>
      <c r="J24" s="49"/>
      <c r="K24" s="49"/>
      <c r="L24" s="49"/>
      <c r="M24" s="49"/>
      <c r="N24" s="49"/>
      <c r="O24" s="49"/>
      <c r="P24" s="53"/>
      <c r="Q24" s="53"/>
      <c r="R24" s="49"/>
      <c r="S24" s="49"/>
      <c r="T24" s="49"/>
    </row>
    <row r="25" spans="8:8" ht="18.0" customHeight="1">
      <c r="A25" s="70" t="s">
        <v>67</v>
      </c>
      <c r="B25" s="71" t="s">
        <v>68</v>
      </c>
      <c r="C25" s="72"/>
      <c r="D25" s="70">
        <v>12.0</v>
      </c>
      <c r="E25" s="70">
        <v>13.0</v>
      </c>
      <c r="F25" s="70">
        <f>E25-D25+1</f>
        <v>2.0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73"/>
      <c r="S25" s="73"/>
      <c r="T25" s="54"/>
    </row>
    <row r="26" spans="8:8" ht="15.75" customHeight="1">
      <c r="A26" s="55" t="s">
        <v>69</v>
      </c>
      <c r="B26" s="56" t="s">
        <v>70</v>
      </c>
      <c r="C26" s="57" t="s">
        <v>12</v>
      </c>
      <c r="D26" s="55">
        <v>12.0</v>
      </c>
      <c r="E26" s="55">
        <v>13.0</v>
      </c>
      <c r="F26" s="55">
        <f>E26-D26+1</f>
        <v>2.0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53"/>
      <c r="S26" s="53"/>
      <c r="T26" s="49"/>
    </row>
    <row r="27" spans="8:8" ht="15.75" customHeight="1">
      <c r="A27" s="50" t="s">
        <v>72</v>
      </c>
      <c r="B27" s="51" t="s">
        <v>73</v>
      </c>
      <c r="C27" s="52" t="s">
        <v>16</v>
      </c>
      <c r="D27" s="50">
        <v>12.0</v>
      </c>
      <c r="E27" s="50">
        <v>12.0</v>
      </c>
      <c r="F27" s="50">
        <f>E27-D27+1</f>
        <v>1.0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8"/>
      <c r="S27" s="54"/>
      <c r="T27" s="54"/>
    </row>
    <row r="28" spans="8:8" ht="15.75" customHeight="1">
      <c r="A28" s="55" t="s">
        <v>75</v>
      </c>
      <c r="B28" s="56" t="s">
        <v>76</v>
      </c>
      <c r="C28" s="57" t="s">
        <v>28</v>
      </c>
      <c r="D28" s="55">
        <v>12.0</v>
      </c>
      <c r="E28" s="55">
        <v>13.0</v>
      </c>
      <c r="F28" s="55">
        <f>E28-D28+1</f>
        <v>2.0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61"/>
      <c r="S28" s="61"/>
      <c r="T28" s="49"/>
    </row>
    <row r="29" spans="8:8" ht="15.75" customHeight="1">
      <c r="A29" s="50" t="s">
        <v>78</v>
      </c>
      <c r="B29" s="51" t="s">
        <v>79</v>
      </c>
      <c r="C29" s="52" t="s">
        <v>24</v>
      </c>
      <c r="D29" s="50">
        <v>12.0</v>
      </c>
      <c r="E29" s="50">
        <v>12.0</v>
      </c>
      <c r="F29" s="50">
        <f>E29-D29+1</f>
        <v>1.0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60"/>
      <c r="S29" s="54"/>
      <c r="T29" s="54"/>
    </row>
    <row r="30" spans="8:8" ht="15.75" customHeight="1">
      <c r="A30" s="55" t="s">
        <v>81</v>
      </c>
      <c r="B30" s="56" t="s">
        <v>82</v>
      </c>
      <c r="C30" s="57" t="s">
        <v>20</v>
      </c>
      <c r="D30" s="55">
        <v>12.0</v>
      </c>
      <c r="E30" s="55">
        <v>12.0</v>
      </c>
      <c r="F30" s="55">
        <f>E30-D30+1</f>
        <v>1.0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59"/>
      <c r="S30" s="49"/>
      <c r="T30" s="49"/>
    </row>
    <row r="31" spans="8:8" ht="15.75" customHeight="1">
      <c r="A31" s="50" t="s">
        <v>84</v>
      </c>
      <c r="B31" s="51" t="s">
        <v>85</v>
      </c>
      <c r="C31" s="52" t="s">
        <v>12</v>
      </c>
      <c r="D31" s="50">
        <v>13.0</v>
      </c>
      <c r="E31" s="50">
        <v>13.0</v>
      </c>
      <c r="F31" s="50">
        <f>E31-D31+1</f>
        <v>1.0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3"/>
      <c r="T31" s="54"/>
    </row>
    <row r="32" spans="8:8" ht="18.0" customHeight="1">
      <c r="A32" s="74" t="s">
        <v>87</v>
      </c>
      <c r="B32" s="75" t="s">
        <v>88</v>
      </c>
      <c r="C32" s="76"/>
      <c r="D32" s="74">
        <v>14.0</v>
      </c>
      <c r="E32" s="74">
        <v>14.0</v>
      </c>
      <c r="F32" s="74">
        <f>E32-D32+1</f>
        <v>1.0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77"/>
    </row>
    <row r="33" spans="8:8" ht="15.75" customHeight="1">
      <c r="A33" s="50" t="s">
        <v>89</v>
      </c>
      <c r="B33" s="51" t="s">
        <v>90</v>
      </c>
      <c r="C33" s="52" t="s">
        <v>91</v>
      </c>
      <c r="D33" s="50">
        <v>14.0</v>
      </c>
      <c r="E33" s="50">
        <v>14.0</v>
      </c>
      <c r="F33" s="50">
        <f>E33-D33+1</f>
        <v>1.0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78"/>
    </row>
    <row r="34" spans="8:8" ht="15.75" customHeight="1">
      <c r="A34" s="55" t="s">
        <v>93</v>
      </c>
      <c r="B34" s="56" t="s">
        <v>94</v>
      </c>
      <c r="C34" s="57" t="s">
        <v>12</v>
      </c>
      <c r="D34" s="55">
        <v>14.0</v>
      </c>
      <c r="E34" s="55">
        <v>14.0</v>
      </c>
      <c r="F34" s="55">
        <f>E34-D34+1</f>
        <v>1.0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53"/>
    </row>
    <row r="37" spans="8:8" ht="15.0">
      <c r="A37" s="33" t="s">
        <v>105</v>
      </c>
    </row>
    <row r="38" spans="8:8" ht="43.25">
      <c r="A38" s="79" t="s">
        <v>12</v>
      </c>
      <c r="B38" s="80" t="s">
        <v>16</v>
      </c>
      <c r="C38" s="81" t="s">
        <v>28</v>
      </c>
      <c r="D38" s="82" t="s">
        <v>24</v>
      </c>
      <c r="E38" s="83" t="s">
        <v>20</v>
      </c>
      <c r="F38" s="84" t="s">
        <v>91</v>
      </c>
    </row>
    <row r="40" spans="8:8" ht="22.35" customHeight="1">
      <c r="A40" s="85" t="s">
        <v>106</v>
      </c>
      <c r="B40" s="85"/>
      <c r="C40" s="85"/>
      <c r="D40" s="85"/>
      <c r="E40" s="85"/>
      <c r="F40" s="85"/>
    </row>
  </sheetData>
  <mergeCells count="3">
    <mergeCell ref="A1:T1"/>
    <mergeCell ref="B2:C2"/>
    <mergeCell ref="A40:F40"/>
  </mergeCells>
  <pageMargins left="0.75" right="0.75" top="1.0" bottom="1.0" header="0.511811023622047" footer="0.511811023622047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2026-07-20T03:40:29Z</dcterms:created>
  <dcterms:modified xsi:type="dcterms:W3CDTF">2026-07-20T18:54:37Z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04ded47901c7465d9671577bc89a36e5</vt:lpwstr>
  </property>
</Properties>
</file>